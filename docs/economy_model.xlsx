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g" sheetId="1" state="visible" r:id="rId1"/>
    <sheet xmlns:r="http://schemas.openxmlformats.org/officeDocument/2006/relationships" name="Earn" sheetId="2" state="visible" r:id="rId2"/>
    <sheet xmlns:r="http://schemas.openxmlformats.org/officeDocument/2006/relationships" name="Catalog" sheetId="3" state="visible" r:id="rId3"/>
    <sheet xmlns:r="http://schemas.openxmlformats.org/officeDocument/2006/relationships" name="Guardrails" sheetId="4" state="visible" r:id="rId4"/>
    <sheet xmlns:r="http://schemas.openxmlformats.org/officeDocument/2006/relationships" name="UnitEconomics" sheetId="5" state="visible" r:id="rId5"/>
    <sheet xmlns:r="http://schemas.openxmlformats.org/officeDocument/2006/relationships" name="Values" sheetId="6" state="visible" r:id="rId6"/>
  </sheets>
  <definedNames/>
  <calcPr calcId="124519" fullCalcOnLoad="1"/>
</workbook>
</file>

<file path=xl/styles.xml><?xml version="1.0" encoding="utf-8"?>
<styleSheet xmlns="http://schemas.openxmlformats.org/spreadsheetml/2006/main">
  <numFmts count="6">
    <numFmt numFmtId="164" formatCode="0.0"/>
    <numFmt numFmtId="165" formatCode="₹0.00"/>
    <numFmt numFmtId="166" formatCode="0.0%"/>
    <numFmt numFmtId="167" formatCode="₹0.0000"/>
    <numFmt numFmtId="168" formatCode="₹#,##0"/>
    <numFmt numFmtId="169" formatCode="0.000%"/>
  </numFmts>
  <fonts count="6">
    <font>
      <name val="Calibri"/>
      <family val="2"/>
      <color theme="1"/>
      <sz val="11"/>
      <scheme val="minor"/>
    </font>
    <font>
      <b val="1"/>
      <sz val="13"/>
    </font>
    <font>
      <b val="1"/>
    </font>
    <font>
      <b val="1"/>
      <color rgb="00FFFFFF"/>
      <sz val="11"/>
    </font>
    <font>
      <b val="1"/>
      <sz val="12"/>
    </font>
    <font/>
  </fonts>
  <fills count="5">
    <fill>
      <patternFill/>
    </fill>
    <fill>
      <patternFill patternType="gray125"/>
    </fill>
    <fill>
      <patternFill patternType="solid">
        <fgColor rgb="00FFF3CD"/>
      </patternFill>
    </fill>
    <fill>
      <patternFill patternType="solid">
        <fgColor rgb="001F4E3D"/>
      </patternFill>
    </fill>
    <fill>
      <patternFill patternType="solid">
        <fgColor rgb="00EAF3EF"/>
      </patternFill>
    </fill>
  </fills>
  <borders count="2">
    <border>
      <left/>
      <right/>
      <top/>
      <bottom/>
      <diagonal/>
    </border>
    <border>
      <left style="thin">
        <color rgb="00D0D7D3"/>
      </left>
      <right style="thin">
        <color rgb="00D0D7D3"/>
      </right>
      <top style="thin">
        <color rgb="00D0D7D3"/>
      </top>
      <bottom style="thin">
        <color rgb="00D0D7D3"/>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2" borderId="0" pivotButton="0" quotePrefix="0" xfId="0"/>
    <xf numFmtId="0" fontId="3" fillId="3" borderId="0" applyAlignment="1" pivotButton="0" quotePrefix="0" xfId="0">
      <alignment horizontal="center" wrapText="1"/>
    </xf>
    <xf numFmtId="0" fontId="0" fillId="2" borderId="0" pivotButton="0" quotePrefix="0" xfId="0"/>
    <xf numFmtId="9" fontId="0" fillId="2" borderId="0" pivotButton="0" quotePrefix="0" xfId="0"/>
    <xf numFmtId="0" fontId="2" fillId="0" borderId="0" pivotButton="0" quotePrefix="0" xfId="0"/>
    <xf numFmtId="3" fontId="0" fillId="4" borderId="0" pivotButton="0" quotePrefix="0" xfId="0"/>
    <xf numFmtId="0" fontId="0" fillId="0" borderId="1" pivotButton="0" quotePrefix="0" xfId="0"/>
    <xf numFmtId="0" fontId="0" fillId="2" borderId="1" pivotButton="0" quotePrefix="0" xfId="0"/>
    <xf numFmtId="9" fontId="0" fillId="2" borderId="1" pivotButton="0" quotePrefix="0" xfId="0"/>
    <xf numFmtId="3" fontId="0" fillId="4" borderId="1" pivotButton="0" quotePrefix="0" xfId="0"/>
    <xf numFmtId="164" fontId="0" fillId="4" borderId="1" pivotButton="0" quotePrefix="0" xfId="0"/>
    <xf numFmtId="0" fontId="4" fillId="0" borderId="0" pivotButton="0" quotePrefix="0" xfId="0"/>
    <xf numFmtId="0" fontId="0" fillId="4" borderId="0" pivotButton="0" quotePrefix="0" xfId="0"/>
    <xf numFmtId="164" fontId="0" fillId="4" borderId="0" pivotButton="0" quotePrefix="0" xfId="0"/>
    <xf numFmtId="0" fontId="2" fillId="4" borderId="0" pivotButton="0" quotePrefix="0" xfId="0"/>
    <xf numFmtId="0" fontId="5" fillId="0" borderId="1" pivotButton="0" quotePrefix="0" xfId="0"/>
    <xf numFmtId="3" fontId="0" fillId="2" borderId="1" pivotButton="0" quotePrefix="0" xfId="0"/>
    <xf numFmtId="165" fontId="0" fillId="2" borderId="1" pivotButton="0" quotePrefix="0" xfId="0"/>
    <xf numFmtId="166" fontId="0" fillId="2" borderId="1" pivotButton="0" quotePrefix="0" xfId="0"/>
    <xf numFmtId="167" fontId="0" fillId="4" borderId="1" pivotButton="0" quotePrefix="0" xfId="0"/>
    <xf numFmtId="168" fontId="0" fillId="2" borderId="1" pivotButton="0" quotePrefix="0" xfId="0"/>
    <xf numFmtId="168" fontId="0" fillId="4" borderId="1" pivotButton="0" quotePrefix="0" xfId="0"/>
    <xf numFmtId="0" fontId="2" fillId="0" borderId="1" pivotButton="0" quotePrefix="0" xfId="0"/>
    <xf numFmtId="169" fontId="0" fillId="4" borderId="1" pivotButton="0" quotePrefix="0" xfId="0"/>
    <xf numFmtId="166" fontId="0" fillId="4" borderId="1" pivotButton="0" quotePrefix="0" xfId="0"/>
    <xf numFmtId="0" fontId="0" fillId="0" borderId="0" applyAlignment="1" pivotButton="0" quotePrefix="0" xfId="0">
      <alignment vertical="top"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46" customWidth="1" min="1" max="1"/>
    <col width="12" customWidth="1" min="2" max="2"/>
  </cols>
  <sheetData>
    <row r="1">
      <c r="A1" s="1" t="inlineStr">
        <is>
          <t>THE PEG — change B2 and every tab recomputes</t>
        </is>
      </c>
    </row>
    <row r="2">
      <c r="A2" t="inlineStr">
        <is>
          <t>Coins per ₹1 of discount value</t>
        </is>
      </c>
      <c r="B2" s="2" t="n">
        <v>10</v>
      </c>
    </row>
    <row r="4">
      <c r="A4" t="inlineStr">
        <is>
          <t>Yellow cells are inputs I own and must defend. Green cells are computed.</t>
        </is>
      </c>
    </row>
    <row r="5">
      <c r="A5" t="inlineStr">
        <is>
          <t>Referenced everywhere as Peg!$B$2 — never restate the peg in another cell.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16" customWidth="1" min="1" max="1"/>
    <col width="13" customWidth="1" min="2" max="2"/>
    <col width="15" customWidth="1" min="3" max="3"/>
    <col width="13" customWidth="1" min="4" max="4"/>
    <col width="12" customWidth="1" min="5" max="5"/>
    <col width="12" customWidth="1" min="6" max="6"/>
    <col width="12" customWidth="1" min="7" max="7"/>
    <col width="14" customWidth="1" min="8" max="8"/>
  </cols>
  <sheetData>
    <row r="1">
      <c r="A1" s="1" t="inlineStr">
        <is>
          <t>EARN RATES</t>
        </is>
      </c>
    </row>
    <row r="3">
      <c r="A3" s="3" t="inlineStr">
        <is>
          <t>Event</t>
        </is>
      </c>
      <c r="B3" s="3" t="inlineStr">
        <is>
          <t>Coins</t>
        </is>
      </c>
    </row>
    <row r="4">
      <c r="A4" t="inlineStr">
        <is>
          <t>Match win</t>
        </is>
      </c>
      <c r="B4" s="4" t="n">
        <v>50</v>
      </c>
    </row>
    <row r="5">
      <c r="A5" t="inlineStr">
        <is>
          <t>Match loss</t>
        </is>
      </c>
      <c r="B5" s="4" t="n">
        <v>15</v>
      </c>
    </row>
    <row r="6">
      <c r="A6" t="inlineStr">
        <is>
          <t>Daily streak</t>
        </is>
      </c>
      <c r="B6" s="4" t="n">
        <v>40</v>
      </c>
    </row>
    <row r="7">
      <c r="A7" t="inlineStr">
        <is>
          <t>Assumed win rate</t>
        </is>
      </c>
      <c r="B7" s="5" t="n">
        <v>0.5</v>
      </c>
    </row>
    <row r="9">
      <c r="A9" s="3" t="inlineStr">
        <is>
          <t>Archetype</t>
        </is>
      </c>
      <c r="B9" s="3" t="inlineStr">
        <is>
          <t>Matches/day</t>
        </is>
      </c>
      <c r="C9" s="3" t="inlineStr">
        <is>
          <t>Days played /wk</t>
        </is>
      </c>
      <c r="D9" s="3" t="inlineStr">
        <is>
          <t>Share of DAU</t>
        </is>
      </c>
      <c r="E9" s="3" t="inlineStr">
        <is>
          <t>Coins/day</t>
        </is>
      </c>
      <c r="F9" s="3" t="inlineStr">
        <is>
          <t>Coins/week</t>
        </is>
      </c>
      <c r="G9" s="3" t="inlineStr">
        <is>
          <t>48h budget</t>
        </is>
      </c>
      <c r="H9" s="3" t="inlineStr">
        <is>
          <t>3-week budget</t>
        </is>
      </c>
    </row>
    <row r="10">
      <c r="A10" s="6" t="inlineStr">
        <is>
          <t>Grinder</t>
        </is>
      </c>
      <c r="B10" s="4" t="n">
        <v>15</v>
      </c>
      <c r="C10" s="4" t="n">
        <v>7</v>
      </c>
      <c r="D10" s="5" t="n">
        <v>0.25</v>
      </c>
      <c r="E10" s="7">
        <f>B10*($B$4*$B$7+$B$5*(1-$B$7))+$B$6*(C10/7)</f>
        <v/>
      </c>
      <c r="F10" s="7">
        <f>E10*7</f>
        <v/>
      </c>
      <c r="G10" s="7">
        <f>E10*2</f>
        <v/>
      </c>
      <c r="H10" s="7">
        <f>E10*21</f>
        <v/>
      </c>
    </row>
    <row r="11">
      <c r="A11" s="6" t="inlineStr">
        <is>
          <t>Dipper</t>
        </is>
      </c>
      <c r="B11" s="4" t="n">
        <v>1.43</v>
      </c>
      <c r="C11" s="4" t="n">
        <v>2.5</v>
      </c>
      <c r="D11" s="5" t="n">
        <v>0.6</v>
      </c>
      <c r="E11" s="7">
        <f>B11*($B$4*$B$7+$B$5*(1-$B$7))+$B$6*(C11/7)</f>
        <v/>
      </c>
      <c r="F11" s="7">
        <f>E11*7</f>
        <v/>
      </c>
      <c r="G11" s="7">
        <f>E11*2</f>
        <v/>
      </c>
      <c r="H11" s="7">
        <f>E11*21</f>
        <v/>
      </c>
    </row>
    <row r="12">
      <c r="A12" s="6" t="inlineStr">
        <is>
          <t>Whale</t>
        </is>
      </c>
      <c r="B12" s="4" t="n">
        <v>6</v>
      </c>
      <c r="C12" s="4" t="n">
        <v>7</v>
      </c>
      <c r="D12" s="5" t="n">
        <v>0.15</v>
      </c>
      <c r="E12" s="7">
        <f>B12*($B$4*$B$7+$B$5*(1-$B$7))+$B$6*(C12/7)</f>
        <v/>
      </c>
      <c r="F12" s="7">
        <f>E12*7</f>
        <v/>
      </c>
      <c r="G12" s="7">
        <f>E12*2</f>
        <v/>
      </c>
      <c r="H12" s="7">
        <f>E12*21</f>
        <v/>
      </c>
    </row>
    <row r="14">
      <c r="A14" t="inlineStr">
        <is>
          <t>Blended platform coins/day</t>
        </is>
      </c>
      <c r="B14" s="7">
        <f>SUMPRODUCT(E10:E12,D10:D12)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4" customWidth="1" min="1" max="1"/>
    <col width="30" customWidth="1" min="2" max="2"/>
    <col width="17" customWidth="1" min="3" max="3"/>
    <col width="10" customWidth="1" min="4" max="4"/>
    <col width="10" customWidth="1" min="5" max="5"/>
    <col width="10" customWidth="1" min="6" max="6"/>
    <col width="10" customWidth="1" min="7" max="7"/>
    <col width="13" customWidth="1" min="8" max="8"/>
    <col width="13" customWidth="1" min="9" max="9"/>
    <col width="13" customWidth="1" min="10" max="10"/>
  </cols>
  <sheetData>
    <row r="1">
      <c r="A1" s="1" t="inlineStr">
        <is>
          <t>CATALOG — coins = MRP × cap × peg.  Cash = MRP − coins/peg.</t>
        </is>
      </c>
    </row>
    <row r="3">
      <c r="A3" s="3" t="inlineStr">
        <is>
          <t>#</t>
        </is>
      </c>
      <c r="B3" s="3" t="inlineStr">
        <is>
          <t>SKU</t>
        </is>
      </c>
      <c r="C3" s="3" t="inlineStr">
        <is>
          <t>Type</t>
        </is>
      </c>
      <c r="D3" s="3" t="inlineStr">
        <is>
          <t>MRP ₹</t>
        </is>
      </c>
      <c r="E3" s="3" t="inlineStr">
        <is>
          <t>Coin cap</t>
        </is>
      </c>
      <c r="F3" s="3" t="inlineStr">
        <is>
          <t>Coins</t>
        </is>
      </c>
      <c r="G3" s="3" t="inlineStr">
        <is>
          <t>Cash ₹</t>
        </is>
      </c>
      <c r="H3" s="3" t="inlineStr">
        <is>
          <t>Days: Grinder</t>
        </is>
      </c>
      <c r="I3" s="3" t="inlineStr">
        <is>
          <t>Days: Dipper</t>
        </is>
      </c>
      <c r="J3" s="3" t="inlineStr">
        <is>
          <t>Days: Whale</t>
        </is>
      </c>
    </row>
    <row r="4">
      <c r="A4" s="8" t="n">
        <v>1</v>
      </c>
      <c r="B4" s="8" t="inlineStr">
        <is>
          <t>Zepto ₹10 off ₹99</t>
        </is>
      </c>
      <c r="C4" s="8" t="inlineStr">
        <is>
          <t>voucher</t>
        </is>
      </c>
      <c r="D4" s="9" t="n">
        <v>10</v>
      </c>
      <c r="E4" s="10" t="n">
        <v>1</v>
      </c>
      <c r="F4" s="11">
        <f>D4*E4*Peg!$B$2</f>
        <v/>
      </c>
      <c r="G4" s="11">
        <f>D4-F4/Peg!$B$2</f>
        <v/>
      </c>
      <c r="H4" s="12">
        <f>F4/Earn!$E$10</f>
        <v/>
      </c>
      <c r="I4" s="12">
        <f>F4/Earn!$E$11</f>
        <v/>
      </c>
      <c r="J4" s="12">
        <f>F4/Earn!$E$12</f>
        <v/>
      </c>
    </row>
    <row r="5">
      <c r="A5" s="8" t="n">
        <v>2</v>
      </c>
      <c r="B5" s="8" t="inlineStr">
        <is>
          <t>Swiggy ₹40 off ₹149</t>
        </is>
      </c>
      <c r="C5" s="8" t="inlineStr">
        <is>
          <t>voucher</t>
        </is>
      </c>
      <c r="D5" s="9" t="n">
        <v>40</v>
      </c>
      <c r="E5" s="10" t="n">
        <v>1</v>
      </c>
      <c r="F5" s="11">
        <f>D5*E5*Peg!$B$2</f>
        <v/>
      </c>
      <c r="G5" s="11">
        <f>D5-F5/Peg!$B$2</f>
        <v/>
      </c>
      <c r="H5" s="12">
        <f>F5/Earn!$E$10</f>
        <v/>
      </c>
      <c r="I5" s="12">
        <f>F5/Earn!$E$11</f>
        <v/>
      </c>
      <c r="J5" s="12">
        <f>F5/Earn!$E$12</f>
        <v/>
      </c>
    </row>
    <row r="6">
      <c r="A6" s="8" t="n">
        <v>3</v>
      </c>
      <c r="B6" s="8" t="inlineStr">
        <is>
          <t>Zomato ₹50 off ₹199</t>
        </is>
      </c>
      <c r="C6" s="8" t="inlineStr">
        <is>
          <t>voucher</t>
        </is>
      </c>
      <c r="D6" s="9" t="n">
        <v>50</v>
      </c>
      <c r="E6" s="10" t="n">
        <v>1</v>
      </c>
      <c r="F6" s="11">
        <f>D6*E6*Peg!$B$2</f>
        <v/>
      </c>
      <c r="G6" s="11">
        <f>D6-F6/Peg!$B$2</f>
        <v/>
      </c>
      <c r="H6" s="12">
        <f>F6/Earn!$E$10</f>
        <v/>
      </c>
      <c r="I6" s="12">
        <f>F6/Earn!$E$11</f>
        <v/>
      </c>
      <c r="J6" s="12">
        <f>F6/Earn!$E$12</f>
        <v/>
      </c>
    </row>
    <row r="7">
      <c r="A7" s="8" t="n">
        <v>4</v>
      </c>
      <c r="B7" s="8" t="inlineStr">
        <is>
          <t>Starbucks ₹100 off ₹299</t>
        </is>
      </c>
      <c r="C7" s="8" t="inlineStr">
        <is>
          <t>voucher</t>
        </is>
      </c>
      <c r="D7" s="9" t="n">
        <v>100</v>
      </c>
      <c r="E7" s="10" t="n">
        <v>1</v>
      </c>
      <c r="F7" s="11">
        <f>D7*E7*Peg!$B$2</f>
        <v/>
      </c>
      <c r="G7" s="11">
        <f>D7-F7/Peg!$B$2</f>
        <v/>
      </c>
      <c r="H7" s="12">
        <f>F7/Earn!$E$10</f>
        <v/>
      </c>
      <c r="I7" s="12">
        <f>F7/Earn!$E$11</f>
        <v/>
      </c>
      <c r="J7" s="12">
        <f>F7/Earn!$E$12</f>
        <v/>
      </c>
    </row>
    <row r="8">
      <c r="A8" s="8" t="n">
        <v>5</v>
      </c>
      <c r="B8" s="8" t="inlineStr">
        <is>
          <t>PharmEasy ₹200 off ₹799</t>
        </is>
      </c>
      <c r="C8" s="8" t="inlineStr">
        <is>
          <t>voucher</t>
        </is>
      </c>
      <c r="D8" s="9" t="n">
        <v>200</v>
      </c>
      <c r="E8" s="10" t="n">
        <v>1</v>
      </c>
      <c r="F8" s="11">
        <f>D8*E8*Peg!$B$2</f>
        <v/>
      </c>
      <c r="G8" s="11">
        <f>D8-F8/Peg!$B$2</f>
        <v/>
      </c>
      <c r="H8" s="12">
        <f>F8/Earn!$E$10</f>
        <v/>
      </c>
      <c r="I8" s="12">
        <f>F8/Earn!$E$11</f>
        <v/>
      </c>
      <c r="J8" s="12">
        <f>F8/Earn!$E$12</f>
        <v/>
      </c>
    </row>
    <row r="9">
      <c r="A9" s="8" t="n">
        <v>6</v>
      </c>
      <c r="B9" s="8" t="inlineStr">
        <is>
          <t>Decathlon ₹300 off ₹999</t>
        </is>
      </c>
      <c r="C9" s="8" t="inlineStr">
        <is>
          <t>voucher</t>
        </is>
      </c>
      <c r="D9" s="9" t="n">
        <v>300</v>
      </c>
      <c r="E9" s="10" t="n">
        <v>1</v>
      </c>
      <c r="F9" s="11">
        <f>D9*E9*Peg!$B$2</f>
        <v/>
      </c>
      <c r="G9" s="11">
        <f>D9-F9/Peg!$B$2</f>
        <v/>
      </c>
      <c r="H9" s="12">
        <f>F9/Earn!$E$10</f>
        <v/>
      </c>
      <c r="I9" s="12">
        <f>F9/Earn!$E$11</f>
        <v/>
      </c>
      <c r="J9" s="12">
        <f>F9/Earn!$E$12</f>
        <v/>
      </c>
    </row>
    <row r="10">
      <c r="A10" s="8" t="n">
        <v>7</v>
      </c>
      <c r="B10" s="8" t="inlineStr">
        <is>
          <t>Spotify Premium 1mo</t>
        </is>
      </c>
      <c r="C10" s="8" t="inlineStr">
        <is>
          <t>product·digital</t>
        </is>
      </c>
      <c r="D10" s="9" t="n">
        <v>139</v>
      </c>
      <c r="E10" s="10" t="n">
        <v>0.4</v>
      </c>
      <c r="F10" s="11">
        <f>D10*E10*Peg!$B$2</f>
        <v/>
      </c>
      <c r="G10" s="11">
        <f>D10-F10/Peg!$B$2</f>
        <v/>
      </c>
      <c r="H10" s="12">
        <f>F10/Earn!$E$10</f>
        <v/>
      </c>
      <c r="I10" s="12">
        <f>F10/Earn!$E$11</f>
        <v/>
      </c>
      <c r="J10" s="12">
        <f>F10/Earn!$E$12</f>
        <v/>
      </c>
    </row>
    <row r="11">
      <c r="A11" s="8" t="n">
        <v>8</v>
      </c>
      <c r="B11" s="8" t="inlineStr">
        <is>
          <t>Netflix Mobile 1mo</t>
        </is>
      </c>
      <c r="C11" s="8" t="inlineStr">
        <is>
          <t>product·digital</t>
        </is>
      </c>
      <c r="D11" s="9" t="n">
        <v>149</v>
      </c>
      <c r="E11" s="10" t="n">
        <v>0.4</v>
      </c>
      <c r="F11" s="11">
        <f>D11*E11*Peg!$B$2</f>
        <v/>
      </c>
      <c r="G11" s="11">
        <f>D11-F11/Peg!$B$2</f>
        <v/>
      </c>
      <c r="H11" s="12">
        <f>F11/Earn!$E$10</f>
        <v/>
      </c>
      <c r="I11" s="12">
        <f>F11/Earn!$E$11</f>
        <v/>
      </c>
      <c r="J11" s="12">
        <f>F11/Earn!$E$12</f>
        <v/>
      </c>
    </row>
    <row r="12">
      <c r="A12" s="8" t="n">
        <v>9</v>
      </c>
      <c r="B12" s="8" t="inlineStr">
        <is>
          <t>JioHotstar Super 1yr</t>
        </is>
      </c>
      <c r="C12" s="8" t="inlineStr">
        <is>
          <t>product·digital</t>
        </is>
      </c>
      <c r="D12" s="9" t="n">
        <v>1499</v>
      </c>
      <c r="E12" s="10" t="n">
        <v>0.4</v>
      </c>
      <c r="F12" s="11">
        <f>D12*E12*Peg!$B$2</f>
        <v/>
      </c>
      <c r="G12" s="11">
        <f>D12-F12/Peg!$B$2</f>
        <v/>
      </c>
      <c r="H12" s="12">
        <f>F12/Earn!$E$10</f>
        <v/>
      </c>
      <c r="I12" s="12">
        <f>F12/Earn!$E$11</f>
        <v/>
      </c>
      <c r="J12" s="12">
        <f>F12/Earn!$E$12</f>
        <v/>
      </c>
    </row>
    <row r="13">
      <c r="A13" s="8" t="n">
        <v>10</v>
      </c>
      <c r="B13" s="8" t="inlineStr">
        <is>
          <t>boAt Airdopes 141</t>
        </is>
      </c>
      <c r="C13" s="8" t="inlineStr">
        <is>
          <t>product·physical</t>
        </is>
      </c>
      <c r="D13" s="9" t="n">
        <v>1299</v>
      </c>
      <c r="E13" s="10" t="n">
        <v>0.4</v>
      </c>
      <c r="F13" s="11">
        <f>D13*E13*Peg!$B$2</f>
        <v/>
      </c>
      <c r="G13" s="11">
        <f>D13-F13/Peg!$B$2</f>
        <v/>
      </c>
      <c r="H13" s="12">
        <f>F13/Earn!$E$10</f>
        <v/>
      </c>
      <c r="I13" s="12">
        <f>F13/Earn!$E$11</f>
        <v/>
      </c>
      <c r="J13" s="12">
        <f>F13/Earn!$E$12</f>
        <v/>
      </c>
    </row>
    <row r="14">
      <c r="A14" s="8" t="n">
        <v>11</v>
      </c>
      <c r="B14" s="8" t="inlineStr">
        <is>
          <t>Puma Softride sliders</t>
        </is>
      </c>
      <c r="C14" s="8" t="inlineStr">
        <is>
          <t>product·physical</t>
        </is>
      </c>
      <c r="D14" s="9" t="n">
        <v>1499</v>
      </c>
      <c r="E14" s="10" t="n">
        <v>0.4</v>
      </c>
      <c r="F14" s="11">
        <f>D14*E14*Peg!$B$2</f>
        <v/>
      </c>
      <c r="G14" s="11">
        <f>D14-F14/Peg!$B$2</f>
        <v/>
      </c>
      <c r="H14" s="12">
        <f>F14/Earn!$E$10</f>
        <v/>
      </c>
      <c r="I14" s="12">
        <f>F14/Earn!$E$11</f>
        <v/>
      </c>
      <c r="J14" s="12">
        <f>F14/Earn!$E$12</f>
        <v/>
      </c>
    </row>
    <row r="15">
      <c r="A15" s="8" t="n">
        <v>12</v>
      </c>
      <c r="B15" s="8" t="inlineStr">
        <is>
          <t>Sony WH-CH520</t>
        </is>
      </c>
      <c r="C15" s="8" t="inlineStr">
        <is>
          <t>product·physical</t>
        </is>
      </c>
      <c r="D15" s="9" t="n">
        <v>2999</v>
      </c>
      <c r="E15" s="10" t="n">
        <v>0.4</v>
      </c>
      <c r="F15" s="11">
        <f>D15*E15*Peg!$B$2</f>
        <v/>
      </c>
      <c r="G15" s="11">
        <f>D15-F15/Peg!$B$2</f>
        <v/>
      </c>
      <c r="H15" s="12">
        <f>F15/Earn!$E$10</f>
        <v/>
      </c>
      <c r="I15" s="12">
        <f>F15/Earn!$E$11</f>
        <v/>
      </c>
      <c r="J15" s="12">
        <f>F15/Earn!$E$12</f>
        <v/>
      </c>
    </row>
    <row r="17">
      <c r="B17" s="13" t="inlineStr">
        <is>
          <t>REACHABILITY TEST</t>
        </is>
      </c>
    </row>
    <row r="18">
      <c r="B18" t="inlineStr">
        <is>
          <t>Test: something reachable inside 2 days, something aspirational at 2-4 weeks.</t>
        </is>
      </c>
    </row>
    <row r="19">
      <c r="A19" s="3" t="inlineStr"/>
      <c r="B19" s="3" t="inlineStr">
        <is>
          <t>Archetype</t>
        </is>
      </c>
      <c r="C19" s="3" t="inlineStr">
        <is>
          <t>Cheapest SKU</t>
        </is>
      </c>
      <c r="D19" s="3" t="inlineStr">
        <is>
          <t>Days</t>
        </is>
      </c>
      <c r="E19" s="3" t="inlineStr">
        <is>
          <t>Aspiration SKU</t>
        </is>
      </c>
      <c r="F19" s="3" t="inlineStr">
        <is>
          <t>Days</t>
        </is>
      </c>
      <c r="G19" s="3" t="inlineStr">
        <is>
          <t>Pass?</t>
        </is>
      </c>
    </row>
    <row r="20">
      <c r="B20" s="6" t="inlineStr">
        <is>
          <t>Grinder</t>
        </is>
      </c>
      <c r="C20" s="14">
        <f>B7</f>
        <v/>
      </c>
      <c r="D20" s="15">
        <f>H7</f>
        <v/>
      </c>
      <c r="E20" s="14">
        <f>B15</f>
        <v/>
      </c>
      <c r="F20" s="15">
        <f>H15</f>
        <v/>
      </c>
      <c r="G20" s="16">
        <f>IF(AND(D20&lt;=2,F20&gt;=14,F20&lt;=28),"PASS","FAIL")</f>
        <v/>
      </c>
    </row>
    <row r="21">
      <c r="B21" s="6" t="inlineStr">
        <is>
          <t>Dipper</t>
        </is>
      </c>
      <c r="C21" s="14">
        <f>B4</f>
        <v/>
      </c>
      <c r="D21" s="15">
        <f>I4</f>
        <v/>
      </c>
      <c r="E21" s="14">
        <f>B7</f>
        <v/>
      </c>
      <c r="F21" s="15">
        <f>I7</f>
        <v/>
      </c>
      <c r="G21" s="16">
        <f>IF(AND(D21&lt;=2,F21&gt;=14,F21&lt;=28),"PASS","FAIL")</f>
        <v/>
      </c>
    </row>
    <row r="22">
      <c r="B22" s="6" t="inlineStr">
        <is>
          <t>Whale</t>
        </is>
      </c>
      <c r="C22" s="14">
        <f>B5</f>
        <v/>
      </c>
      <c r="D22" s="15">
        <f>J5</f>
        <v/>
      </c>
      <c r="E22" s="14">
        <f>B13</f>
        <v/>
      </c>
      <c r="F22" s="15">
        <f>J13</f>
        <v/>
      </c>
      <c r="G22" s="16">
        <f>IF(AND(D22&lt;=2,F22&gt;=14,F22&lt;=28),"PASS","FAIL")</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6" customWidth="1" min="1" max="1"/>
    <col width="13" customWidth="1" min="2" max="2"/>
    <col width="15" customWidth="1" min="3" max="3"/>
    <col width="12" customWidth="1" min="4" max="4"/>
    <col width="46" customWidth="1" min="5" max="5"/>
  </cols>
  <sheetData>
    <row r="1">
      <c r="A1" s="1" t="inlineStr">
        <is>
          <t>GUARDRAILS</t>
        </is>
      </c>
    </row>
    <row r="3">
      <c r="A3" s="3" t="inlineStr">
        <is>
          <t>Guardrail</t>
        </is>
      </c>
      <c r="B3" s="3" t="inlineStr">
        <is>
          <t>Value</t>
        </is>
      </c>
      <c r="C3" s="3" t="inlineStr">
        <is>
          <t>Protects</t>
        </is>
      </c>
    </row>
    <row r="4">
      <c r="A4" t="inlineStr">
        <is>
          <t>Redemptions / player / week</t>
        </is>
      </c>
      <c r="B4" s="4" t="n">
        <v>2</v>
      </c>
      <c r="C4" t="inlineStr">
        <is>
          <t>Brand CAC budget + coupon inventory — the real control</t>
        </is>
      </c>
    </row>
    <row r="5">
      <c r="A5" t="inlineStr">
        <is>
          <t>Daily coin earn ceiling</t>
        </is>
      </c>
      <c r="B5" s="4" t="n">
        <v>900</v>
      </c>
      <c r="C5" t="inlineStr">
        <is>
          <t>Farming. ~1.7x a Grinder's normal day: binds bots, not humans</t>
        </is>
      </c>
    </row>
    <row r="6">
      <c r="A6" t="inlineStr">
        <is>
          <t>Voucher non-redemption rate</t>
        </is>
      </c>
      <c r="B6" s="5" t="n">
        <v>0.15</v>
      </c>
      <c r="C6" t="inlineStr">
        <is>
          <t>Assumed. Drives the coin-refund float below</t>
        </is>
      </c>
    </row>
    <row r="7">
      <c r="A7" t="inlineStr">
        <is>
          <t>Whale IAP ARPDAU kill threshold</t>
        </is>
      </c>
      <c r="B7" s="5" t="n">
        <v>-0.02</v>
      </c>
      <c r="C7" t="inlineStr">
        <is>
          <t>The thing this store was sold to protect</t>
        </is>
      </c>
    </row>
    <row r="9">
      <c r="A9" s="13" t="inlineStr">
        <is>
          <t>MINT VS SINK PER ARCHETYPE</t>
        </is>
      </c>
    </row>
    <row r="10">
      <c r="A10" s="3" t="inlineStr">
        <is>
          <t>Archetype</t>
        </is>
      </c>
      <c r="B10" s="3" t="inlineStr">
        <is>
          <t>Mint/week</t>
        </is>
      </c>
      <c r="C10" s="3" t="inlineStr">
        <is>
          <t>Max sink/week</t>
        </is>
      </c>
      <c r="D10" s="3" t="inlineStr">
        <is>
          <t>Net</t>
        </is>
      </c>
      <c r="E10" s="3" t="inlineStr">
        <is>
          <t>Verdict</t>
        </is>
      </c>
    </row>
    <row r="11">
      <c r="A11" s="6" t="inlineStr">
        <is>
          <t>Grinder</t>
        </is>
      </c>
      <c r="B11" s="7">
        <f>Earn!$F$10</f>
        <v/>
      </c>
      <c r="C11" s="7">
        <f>Catalog!$F$8*$B$4</f>
        <v/>
      </c>
      <c r="D11" s="7">
        <f>B11-C11</f>
        <v/>
      </c>
      <c r="E11" s="14">
        <f>IF(D11&gt;0,"Mints faster than it sinks — needs a higher tier","Can sink faster than it mints — healthy")</f>
        <v/>
      </c>
    </row>
    <row r="12">
      <c r="A12" s="6" t="inlineStr">
        <is>
          <t>Dipper</t>
        </is>
      </c>
      <c r="B12" s="7">
        <f>Earn!$F$11</f>
        <v/>
      </c>
      <c r="C12" s="7">
        <f>Catalog!$F$5*$B$4</f>
        <v/>
      </c>
      <c r="D12" s="7">
        <f>B12-C12</f>
        <v/>
      </c>
      <c r="E12" s="14">
        <f>IF(D12&gt;0,"Mints faster than it sinks — needs a higher tier","Can sink faster than it mints — healthy")</f>
        <v/>
      </c>
    </row>
    <row r="13">
      <c r="A13" s="6" t="inlineStr">
        <is>
          <t>Whale</t>
        </is>
      </c>
      <c r="B13" s="7">
        <f>Earn!$F$12</f>
        <v/>
      </c>
      <c r="C13" s="7">
        <f>Catalog!$F$6*$B$4</f>
        <v/>
      </c>
      <c r="D13" s="7">
        <f>B13-C13</f>
        <v/>
      </c>
      <c r="E13" s="14">
        <f>IF(D13&gt;0,"Mints faster than it sinks — needs a higher tier","Can sink faster than it mints — healthy")</f>
        <v/>
      </c>
    </row>
    <row r="16">
      <c r="A16" t="inlineStr">
        <is>
          <t>Coins refunded/week from expiry</t>
        </is>
      </c>
      <c r="B16" s="7">
        <f>SUM(C11:C13)*B6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40" customWidth="1" min="1" max="1"/>
    <col width="16" customWidth="1" min="2" max="2"/>
    <col width="56" customWidth="1" min="3" max="3"/>
  </cols>
  <sheetData>
    <row r="1">
      <c r="A1" s="1" t="inlineStr">
        <is>
          <t>UNIT ECONOMICS — the redemption rate is DERIVED from PlaySuper's published +5.2% ARPDAU, not guessed</t>
        </is>
      </c>
    </row>
    <row r="3">
      <c r="A3" s="3" t="inlineStr">
        <is>
          <t>Line</t>
        </is>
      </c>
      <c r="B3" s="3" t="inlineStr">
        <is>
          <t>Value</t>
        </is>
      </c>
      <c r="C3" s="3" t="inlineStr">
        <is>
          <t>Source / formula</t>
        </is>
      </c>
    </row>
    <row r="4">
      <c r="A4" s="17" t="inlineStr">
        <is>
          <t>DAU</t>
        </is>
      </c>
      <c r="B4" s="18" t="n">
        <v>1000000</v>
      </c>
      <c r="C4" s="8" t="inlineStr">
        <is>
          <t>input</t>
        </is>
      </c>
    </row>
    <row r="5">
      <c r="A5" s="17" t="inlineStr">
        <is>
          <t>Baseline ARPDAU</t>
        </is>
      </c>
      <c r="B5" s="19" t="n">
        <v>0.8</v>
      </c>
      <c r="C5" s="8" t="inlineStr">
        <is>
          <t>input</t>
        </is>
      </c>
    </row>
    <row r="6">
      <c r="A6" s="17" t="inlineStr">
        <is>
          <t>Target ARPDAU lift</t>
        </is>
      </c>
      <c r="B6" s="20" t="n">
        <v>0.052</v>
      </c>
      <c r="C6" s="8" t="inlineStr">
        <is>
          <t>PlaySuper published figure</t>
        </is>
      </c>
    </row>
    <row r="7">
      <c r="A7" s="17" t="inlineStr">
        <is>
          <t>Incremental revenue / DAU / day</t>
        </is>
      </c>
      <c r="B7" s="21">
        <f>B5*B6</f>
        <v/>
      </c>
      <c r="C7" s="8" t="inlineStr">
        <is>
          <t>computed</t>
        </is>
      </c>
    </row>
    <row r="8">
      <c r="A8" s="17" t="inlineStr">
        <is>
          <t>Average order value at redemption</t>
        </is>
      </c>
      <c r="B8" s="22" t="n">
        <v>700</v>
      </c>
      <c r="C8" s="8" t="inlineStr">
        <is>
          <t>input — I own this</t>
        </is>
      </c>
    </row>
    <row r="9">
      <c r="A9" s="17" t="inlineStr">
        <is>
          <t>PlaySuper commission %</t>
        </is>
      </c>
      <c r="B9" s="10" t="n">
        <v>0.1</v>
      </c>
      <c r="C9" s="8" t="inlineStr">
        <is>
          <t>input — I own this</t>
        </is>
      </c>
    </row>
    <row r="10">
      <c r="A10" s="17" t="inlineStr">
        <is>
          <t>PlaySuper commission ₹</t>
        </is>
      </c>
      <c r="B10" s="23">
        <f>B8*B9</f>
        <v/>
      </c>
      <c r="C10" s="8" t="inlineStr">
        <is>
          <t>computed</t>
        </is>
      </c>
    </row>
    <row r="11">
      <c r="A11" s="17" t="inlineStr">
        <is>
          <t>Studio share of commission %</t>
        </is>
      </c>
      <c r="B11" s="10" t="n">
        <v>0.5</v>
      </c>
      <c r="C11" s="8" t="inlineStr">
        <is>
          <t>input — I own this</t>
        </is>
      </c>
    </row>
    <row r="12">
      <c r="A12" s="17" t="inlineStr">
        <is>
          <t>Studio revenue per redemption ₹</t>
        </is>
      </c>
      <c r="B12" s="23">
        <f>B10*B11</f>
        <v/>
      </c>
      <c r="C12" s="8" t="inlineStr">
        <is>
          <t>computed</t>
        </is>
      </c>
    </row>
    <row r="13">
      <c r="A13" s="24" t="inlineStr">
        <is>
          <t>IMPLIED daily redemption rate</t>
        </is>
      </c>
      <c r="B13" s="25">
        <f>B7/B12</f>
        <v/>
      </c>
      <c r="C13" s="8" t="inlineStr">
        <is>
          <t>incremental ÷ studio rev per redemption</t>
        </is>
      </c>
    </row>
    <row r="14">
      <c r="A14" s="17" t="inlineStr">
        <is>
          <t>Redemptions / day</t>
        </is>
      </c>
      <c r="B14" s="11">
        <f>B4*B13</f>
        <v/>
      </c>
      <c r="C14" s="8" t="inlineStr">
        <is>
          <t>computed</t>
        </is>
      </c>
    </row>
    <row r="15">
      <c r="A15" s="17" t="inlineStr">
        <is>
          <t>Redemptions / month</t>
        </is>
      </c>
      <c r="B15" s="11">
        <f>B14*30</f>
        <v/>
      </c>
      <c r="C15" s="8" t="inlineStr">
        <is>
          <t>computed</t>
        </is>
      </c>
    </row>
    <row r="16">
      <c r="A16" s="17" t="inlineStr">
        <is>
          <t>Average discount funded by brand ₹</t>
        </is>
      </c>
      <c r="B16" s="22" t="n">
        <v>150</v>
      </c>
      <c r="C16" s="8" t="inlineStr">
        <is>
          <t>input — I own this</t>
        </is>
      </c>
    </row>
    <row r="17">
      <c r="A17" s="24" t="inlineStr">
        <is>
          <t>BRAND CAC BUDGET REQUIRED / month</t>
        </is>
      </c>
      <c r="B17" s="23">
        <f>B15*B16</f>
        <v/>
      </c>
      <c r="C17" s="8" t="inlineStr">
        <is>
          <t>the real ceiling</t>
        </is>
      </c>
    </row>
    <row r="18">
      <c r="A18" s="17" t="inlineStr">
        <is>
          <t>Share of DAU redeeming per month</t>
        </is>
      </c>
      <c r="B18" s="26">
        <f>B15/B4</f>
        <v/>
      </c>
      <c r="C18" s="8" t="inlineStr">
        <is>
          <t>computed</t>
        </is>
      </c>
    </row>
    <row r="19">
      <c r="A19" s="17" t="inlineStr">
        <is>
          <t>Redemption cap headroom (cap 8/mo)</t>
        </is>
      </c>
      <c r="B19" s="12">
        <f>8/(B18*30/30)</f>
        <v/>
      </c>
      <c r="C19" s="8" t="inlineStr">
        <is>
          <t>cap ÷ modal monthly redemptions</t>
        </is>
      </c>
    </row>
    <row r="23">
      <c r="A23" s="13" t="inlineStr">
        <is>
          <t>CONCLUSION 1</t>
        </is>
      </c>
    </row>
    <row r="24" ht="58" customHeight="1">
      <c r="A24" s="27" t="inlineStr">
        <is>
          <t>Only ~0.12% of DAU — about 1 player in 840 — need to redeem daily to hit the published ARPDAU lift. So optimise for RETENTION BREADTH (many players holding a reserved Goal), not CONVERSION DEPTH (many checkouts). A held Goal costs the brand nothing and returns a player tomorrow; a checkout costs CAC and may not.</t>
        </is>
      </c>
    </row>
    <row r="26">
      <c r="A26" s="13" t="inlineStr">
        <is>
          <t>CONCLUSION 2</t>
        </is>
      </c>
    </row>
    <row r="27" ht="44" customHeight="1">
      <c r="A27" s="27" t="inlineStr">
        <is>
          <t>The monthly brand CAC budget is the real ceiling — not studio cost. If brands fund less, the redemption cap tightens or the average discount drops. The coin faucet does not move. Faucet and budget are INDEPENDENT levers.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VALUES — hardcoded duplicate of every computed figure.</t>
        </is>
      </c>
    </row>
    <row r="2" ht="42" customHeight="1">
      <c r="A2" s="28" t="inlineStr">
        <is>
          <t>openpyxl writes formulas with no cached result, so Apple Numbers / Quick Look render those cells blank until the file is opened in Excel. This tab guarantees the model is readable anywhere. If it disagrees with the formula tabs, the formula tabs win.</t>
        </is>
      </c>
    </row>
    <row r="4">
      <c r="A4" t="inlineStr">
        <is>
          <t>PEG (coins per ₹1)</t>
        </is>
      </c>
      <c r="B4" t="n">
        <v>10</v>
      </c>
      <c r="C4" t="inlineStr"/>
      <c r="D4" t="inlineStr"/>
    </row>
    <row r="5">
      <c r="A5" t="inlineStr"/>
      <c r="B5" t="inlineStr"/>
      <c r="C5" t="inlineStr"/>
      <c r="D5" t="inlineStr"/>
    </row>
    <row r="6">
      <c r="A6" s="6" t="inlineStr">
        <is>
          <t>COINS/DAY</t>
        </is>
      </c>
      <c r="B6" s="6" t="inlineStr">
        <is>
          <t>Grinder</t>
        </is>
      </c>
      <c r="C6" s="6" t="inlineStr">
        <is>
          <t>Dipper</t>
        </is>
      </c>
      <c r="D6" s="6" t="inlineStr">
        <is>
          <t>Whale</t>
        </is>
      </c>
    </row>
    <row r="7">
      <c r="A7" t="inlineStr"/>
      <c r="B7" t="n">
        <v>528</v>
      </c>
      <c r="C7" t="n">
        <v>61</v>
      </c>
      <c r="D7" t="n">
        <v>235</v>
      </c>
    </row>
    <row r="8">
      <c r="A8" t="inlineStr">
        <is>
          <t>48h budget</t>
        </is>
      </c>
      <c r="B8" t="n">
        <v>1055</v>
      </c>
      <c r="C8" t="n">
        <v>122</v>
      </c>
      <c r="D8" t="n">
        <v>470</v>
      </c>
    </row>
    <row r="9">
      <c r="A9" t="inlineStr">
        <is>
          <t>3-week budget</t>
        </is>
      </c>
      <c r="B9" t="n">
        <v>11078</v>
      </c>
      <c r="C9" t="n">
        <v>1276</v>
      </c>
      <c r="D9" t="n">
        <v>4935</v>
      </c>
    </row>
    <row r="10">
      <c r="A10" t="inlineStr"/>
      <c r="B10" t="inlineStr"/>
      <c r="C10" t="inlineStr"/>
      <c r="D10" t="inlineStr"/>
    </row>
    <row r="11">
      <c r="A11" s="6" t="inlineStr">
        <is>
          <t>UNIT ECONOMICS</t>
        </is>
      </c>
      <c r="B11" t="inlineStr"/>
      <c r="C11" t="inlineStr"/>
      <c r="D11" t="inlineStr"/>
    </row>
    <row r="12">
      <c r="A12" t="inlineStr">
        <is>
          <t>Incremental rev / DAU / day</t>
        </is>
      </c>
      <c r="B12" t="inlineStr">
        <is>
          <t>₹0.0416</t>
        </is>
      </c>
      <c r="C12" t="inlineStr"/>
      <c r="D12" t="inlineStr"/>
    </row>
    <row r="13">
      <c r="A13" t="inlineStr">
        <is>
          <t>Studio rev per redemption</t>
        </is>
      </c>
      <c r="B13" t="inlineStr">
        <is>
          <t>₹35</t>
        </is>
      </c>
      <c r="C13" t="inlineStr"/>
      <c r="D13" t="inlineStr"/>
    </row>
    <row r="14">
      <c r="A14" t="inlineStr">
        <is>
          <t>Implied daily redemption rate</t>
        </is>
      </c>
      <c r="B14" t="inlineStr">
        <is>
          <t>0.119%</t>
        </is>
      </c>
      <c r="C14" t="inlineStr"/>
      <c r="D14" t="inlineStr"/>
    </row>
    <row r="15">
      <c r="A15" t="inlineStr">
        <is>
          <t>Redemptions / day @ 1M DAU</t>
        </is>
      </c>
      <c r="B15" t="inlineStr">
        <is>
          <t>1,189</t>
        </is>
      </c>
      <c r="C15" t="inlineStr"/>
      <c r="D15" t="inlineStr"/>
    </row>
    <row r="16">
      <c r="A16" t="inlineStr">
        <is>
          <t>Redemptions / month</t>
        </is>
      </c>
      <c r="B16" t="inlineStr">
        <is>
          <t>35,657</t>
        </is>
      </c>
      <c r="C16" t="inlineStr"/>
      <c r="D16" t="inlineStr"/>
    </row>
    <row r="17">
      <c r="A17" t="inlineStr">
        <is>
          <t>Brand CAC budget / month</t>
        </is>
      </c>
      <c r="B17" t="inlineStr">
        <is>
          <t>₹5,348,571</t>
        </is>
      </c>
      <c r="C17" t="inlineStr"/>
      <c r="D17" t="inlineStr"/>
    </row>
    <row r="18">
      <c r="A18" t="inlineStr">
        <is>
          <t>Share of DAU redeeming / month</t>
        </is>
      </c>
      <c r="B18" t="inlineStr">
        <is>
          <t>3.6%</t>
        </is>
      </c>
      <c r="C18" t="inlineStr"/>
      <c r="D18" t="inlineStr"/>
    </row>
    <row r="21">
      <c r="A21" s="6" t="inlineStr">
        <is>
          <t>CATALOG (computed)</t>
        </is>
      </c>
    </row>
    <row r="22">
      <c r="A22" s="3" t="inlineStr">
        <is>
          <t>SKU</t>
        </is>
      </c>
      <c r="B22" s="3" t="inlineStr">
        <is>
          <t>Coins</t>
        </is>
      </c>
      <c r="C22" s="3" t="inlineStr">
        <is>
          <t>Cash ₹</t>
        </is>
      </c>
      <c r="D22" s="3" t="inlineStr">
        <is>
          <t>Days: Grinder</t>
        </is>
      </c>
      <c r="E22" s="3" t="inlineStr">
        <is>
          <t>Days: Dipper</t>
        </is>
      </c>
      <c r="F22" s="3" t="inlineStr">
        <is>
          <t>Days: Whale</t>
        </is>
      </c>
    </row>
    <row r="23">
      <c r="A23" t="inlineStr">
        <is>
          <t>Zepto ₹10 off ₹99</t>
        </is>
      </c>
      <c r="B23" t="n">
        <v>100</v>
      </c>
      <c r="C23" t="n">
        <v>0</v>
      </c>
      <c r="D23" t="n">
        <v>0.2</v>
      </c>
      <c r="E23" t="n">
        <v>1.6</v>
      </c>
      <c r="F23" t="n">
        <v>0.4</v>
      </c>
    </row>
    <row r="24">
      <c r="A24" t="inlineStr">
        <is>
          <t>Swiggy ₹40 off ₹149</t>
        </is>
      </c>
      <c r="B24" t="n">
        <v>400</v>
      </c>
      <c r="C24" t="n">
        <v>0</v>
      </c>
      <c r="D24" t="n">
        <v>0.8</v>
      </c>
      <c r="E24" t="n">
        <v>6.6</v>
      </c>
      <c r="F24" t="n">
        <v>1.7</v>
      </c>
    </row>
    <row r="25">
      <c r="A25" t="inlineStr">
        <is>
          <t>Zomato ₹50 off ₹199</t>
        </is>
      </c>
      <c r="B25" t="n">
        <v>500</v>
      </c>
      <c r="C25" t="n">
        <v>0</v>
      </c>
      <c r="D25" t="n">
        <v>0.9</v>
      </c>
      <c r="E25" t="n">
        <v>8.199999999999999</v>
      </c>
      <c r="F25" t="n">
        <v>2.1</v>
      </c>
    </row>
    <row r="26">
      <c r="A26" t="inlineStr">
        <is>
          <t>Starbucks ₹100 off ₹299</t>
        </is>
      </c>
      <c r="B26" t="n">
        <v>1000</v>
      </c>
      <c r="C26" t="n">
        <v>0</v>
      </c>
      <c r="D26" t="n">
        <v>1.9</v>
      </c>
      <c r="E26" t="n">
        <v>16.5</v>
      </c>
      <c r="F26" t="n">
        <v>4.3</v>
      </c>
    </row>
    <row r="27">
      <c r="A27" t="inlineStr">
        <is>
          <t>PharmEasy ₹200 off ₹799</t>
        </is>
      </c>
      <c r="B27" t="n">
        <v>2000</v>
      </c>
      <c r="C27" t="n">
        <v>0</v>
      </c>
      <c r="D27" t="n">
        <v>3.8</v>
      </c>
      <c r="E27" t="n">
        <v>32.9</v>
      </c>
      <c r="F27" t="n">
        <v>8.5</v>
      </c>
    </row>
    <row r="28">
      <c r="A28" t="inlineStr">
        <is>
          <t>Decathlon ₹300 off ₹999</t>
        </is>
      </c>
      <c r="B28" t="n">
        <v>3000</v>
      </c>
      <c r="C28" t="n">
        <v>0</v>
      </c>
      <c r="D28" t="n">
        <v>5.7</v>
      </c>
      <c r="E28" t="n">
        <v>49.4</v>
      </c>
      <c r="F28" t="n">
        <v>12.8</v>
      </c>
    </row>
    <row r="29">
      <c r="A29" t="inlineStr">
        <is>
          <t>Spotify Premium 1mo</t>
        </is>
      </c>
      <c r="B29" t="n">
        <v>556</v>
      </c>
      <c r="C29" t="n">
        <v>83</v>
      </c>
      <c r="D29" t="n">
        <v>1.1</v>
      </c>
      <c r="E29" t="n">
        <v>9.199999999999999</v>
      </c>
      <c r="F29" t="n">
        <v>2.4</v>
      </c>
    </row>
    <row r="30">
      <c r="A30" t="inlineStr">
        <is>
          <t>Netflix Mobile 1mo</t>
        </is>
      </c>
      <c r="B30" t="n">
        <v>596</v>
      </c>
      <c r="C30" t="n">
        <v>89</v>
      </c>
      <c r="D30" t="n">
        <v>1.1</v>
      </c>
      <c r="E30" t="n">
        <v>9.800000000000001</v>
      </c>
      <c r="F30" t="n">
        <v>2.5</v>
      </c>
    </row>
    <row r="31">
      <c r="A31" t="inlineStr">
        <is>
          <t>JioHotstar Super 1yr</t>
        </is>
      </c>
      <c r="B31" t="n">
        <v>5996</v>
      </c>
      <c r="C31" t="n">
        <v>899</v>
      </c>
      <c r="D31" t="n">
        <v>11.4</v>
      </c>
      <c r="E31" t="n">
        <v>98.7</v>
      </c>
      <c r="F31" t="n">
        <v>25.5</v>
      </c>
    </row>
    <row r="32">
      <c r="A32" t="inlineStr">
        <is>
          <t>boAt Airdopes 141</t>
        </is>
      </c>
      <c r="B32" t="n">
        <v>5196</v>
      </c>
      <c r="C32" t="n">
        <v>779</v>
      </c>
      <c r="D32" t="n">
        <v>9.9</v>
      </c>
      <c r="E32" t="n">
        <v>85.5</v>
      </c>
      <c r="F32" t="n">
        <v>22.1</v>
      </c>
    </row>
    <row r="33">
      <c r="A33" t="inlineStr">
        <is>
          <t>Puma Softride sliders</t>
        </is>
      </c>
      <c r="B33" t="n">
        <v>5996</v>
      </c>
      <c r="C33" t="n">
        <v>899</v>
      </c>
      <c r="D33" t="n">
        <v>11.4</v>
      </c>
      <c r="E33" t="n">
        <v>98.7</v>
      </c>
      <c r="F33" t="n">
        <v>25.5</v>
      </c>
    </row>
    <row r="34">
      <c r="A34" t="inlineStr">
        <is>
          <t>Sony WH-CH520</t>
        </is>
      </c>
      <c r="B34" t="n">
        <v>11996</v>
      </c>
      <c r="C34" t="n">
        <v>1799</v>
      </c>
      <c r="D34" t="n">
        <v>22.7</v>
      </c>
      <c r="E34" t="n">
        <v>197.4</v>
      </c>
      <c r="F34" t="n">
        <v>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2026-08-25T09:59:26Z</dcterms:created>
  <dcterms:modified xmlns:dcterms="http://purl.org/dc/terms/" xmlns:xsi="http://www.w3.org/2001/XMLSchema-instance" xsi:type="dcterms:W3CDTF">2026-08-25T09:59:26Z</dcterms:modified>
</cp:coreProperties>
</file>